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85f59ba657931ea/Desktop/Task 9/"/>
    </mc:Choice>
  </mc:AlternateContent>
  <xr:revisionPtr revIDLastSave="94" documentId="8_{F1698875-F0CF-4658-94A2-FB93CC8630F0}" xr6:coauthVersionLast="47" xr6:coauthVersionMax="47" xr10:uidLastSave="{36B76934-8F2A-457C-852D-17088542F0F4}"/>
  <bookViews>
    <workbookView xWindow="11424" yWindow="0" windowWidth="11712" windowHeight="13776" activeTab="1" xr2:uid="{DDF71393-CCCB-40FC-8B84-17A5F232585D}"/>
  </bookViews>
  <sheets>
    <sheet name="Sheet1" sheetId="1" r:id="rId1"/>
    <sheet name="Summary Statistic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 l="1"/>
  <c r="C9" i="2"/>
  <c r="C8" i="2"/>
  <c r="C7" i="2"/>
  <c r="C6" i="2"/>
  <c r="C5" i="2"/>
  <c r="C4" i="2"/>
  <c r="C3" i="2"/>
  <c r="C2" i="2"/>
  <c r="E10" i="2"/>
  <c r="B2" i="2"/>
  <c r="D2" i="2"/>
  <c r="E2" i="2"/>
  <c r="E9" i="2"/>
  <c r="E8" i="2"/>
  <c r="E7" i="2"/>
  <c r="E6" i="2"/>
  <c r="E5" i="2"/>
  <c r="E4" i="2"/>
  <c r="E3" i="2"/>
  <c r="D10" i="2"/>
  <c r="D9" i="2"/>
  <c r="D8" i="2"/>
  <c r="D7" i="2"/>
  <c r="D6" i="2"/>
  <c r="D5" i="2"/>
  <c r="D4" i="2"/>
  <c r="D3" i="2"/>
  <c r="B10" i="2"/>
  <c r="B9" i="2"/>
  <c r="B8" i="2"/>
  <c r="B7" i="2"/>
  <c r="B6" i="2"/>
  <c r="B5" i="2"/>
  <c r="B4" i="2"/>
  <c r="B3" i="2"/>
</calcChain>
</file>

<file path=xl/sharedStrings.xml><?xml version="1.0" encoding="utf-8"?>
<sst xmlns="http://schemas.openxmlformats.org/spreadsheetml/2006/main" count="171" uniqueCount="24">
  <si>
    <t>sepal_length</t>
  </si>
  <si>
    <t>sepal_width</t>
  </si>
  <si>
    <t>petal_length</t>
  </si>
  <si>
    <t>petal_width</t>
  </si>
  <si>
    <t>species</t>
  </si>
  <si>
    <t>Iris-setosa</t>
  </si>
  <si>
    <t>Iris-versicolor</t>
  </si>
  <si>
    <t>Iris-virginica</t>
  </si>
  <si>
    <t>Statistic</t>
  </si>
  <si>
    <t>Sepal Length</t>
  </si>
  <si>
    <t>Sepal Width</t>
  </si>
  <si>
    <t>Petal Length</t>
  </si>
  <si>
    <t>Petal Width</t>
  </si>
  <si>
    <t>Mean</t>
  </si>
  <si>
    <t>Median</t>
  </si>
  <si>
    <t>Mode</t>
  </si>
  <si>
    <t>Standard Deviation</t>
  </si>
  <si>
    <t>25th Percentile</t>
  </si>
  <si>
    <t>50th Percentile</t>
  </si>
  <si>
    <t>75th Percentile</t>
  </si>
  <si>
    <t>Minimum</t>
  </si>
  <si>
    <t>Maximum</t>
  </si>
  <si>
    <t>Interpretation of Results</t>
  </si>
  <si>
    <t>The Iris dataset was analyzed using descriptive statistical measures, including mean, median, mode, standard deviation, and percentiles. The mean and median describe the central values of the flower measurements. Standard deviation indicates how much the measurements vary. The 25th, 50th, and 75th percentiles help explain the distribution of the data. Comparing mean and median provides clues about skewness, while standard deviation helps understand the spread of the measurements.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</si>
</sst>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0000"/>
  </numFmts>
  <fonts count="4">
    <font>
      <sz val="11"/>
      <color theme="1"/>
      <name val="Aptos Narrow"/>
      <family val="2"/>
      <scheme val="minor"/>
    </font>
    <font>
      <b/>
      <sz val="11"/>
      <color theme="1"/>
      <name val="Aptos Narrow"/>
      <family val="2"/>
      <scheme val="minor"/>
    </font>
    <font>
      <sz val="10"/>
      <color theme="1"/>
      <name val="Arial Unicode MS"/>
    </font>
    <font>
      <b/>
      <sz val="10"/>
      <color theme="1"/>
      <name val="Arial Unicode MS"/>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71" fontId="0" fillId="0" borderId="0" xfId="0" applyNumberFormat="1"/>
    <xf numFmtId="171" fontId="2"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573AC-C096-489A-AB53-0F4045BEB550}">
  <dimension ref="A1:E151"/>
  <sheetViews>
    <sheetView workbookViewId="0">
      <selection activeCell="G9" sqref="G9"/>
    </sheetView>
  </sheetViews>
  <sheetFormatPr defaultRowHeight="14.4"/>
  <cols>
    <col min="1" max="1" width="15.109375" customWidth="1"/>
    <col min="2" max="2" width="12.88671875" customWidth="1"/>
    <col min="3" max="4" width="15.109375" customWidth="1"/>
    <col min="5" max="5" width="29.88671875" customWidth="1"/>
  </cols>
  <sheetData>
    <row r="1" spans="1:5">
      <c r="A1" t="s">
        <v>0</v>
      </c>
      <c r="B1" t="s">
        <v>1</v>
      </c>
      <c r="C1" t="s">
        <v>2</v>
      </c>
      <c r="D1" t="s">
        <v>3</v>
      </c>
      <c r="E1" t="s">
        <v>4</v>
      </c>
    </row>
    <row r="2" spans="1:5">
      <c r="A2">
        <v>5.0999999999999996</v>
      </c>
      <c r="B2">
        <v>3.5</v>
      </c>
      <c r="C2">
        <v>1.4</v>
      </c>
      <c r="D2">
        <v>0.2</v>
      </c>
      <c r="E2" t="s">
        <v>5</v>
      </c>
    </row>
    <row r="3" spans="1:5">
      <c r="A3">
        <v>4.9000000000000004</v>
      </c>
      <c r="B3">
        <v>3</v>
      </c>
      <c r="C3">
        <v>1.4</v>
      </c>
      <c r="D3">
        <v>0.2</v>
      </c>
      <c r="E3" t="s">
        <v>5</v>
      </c>
    </row>
    <row r="4" spans="1:5">
      <c r="A4">
        <v>4.7</v>
      </c>
      <c r="B4">
        <v>3.2</v>
      </c>
      <c r="C4">
        <v>1.3</v>
      </c>
      <c r="D4">
        <v>0.2</v>
      </c>
      <c r="E4" t="s">
        <v>5</v>
      </c>
    </row>
    <row r="5" spans="1:5">
      <c r="A5">
        <v>4.5999999999999996</v>
      </c>
      <c r="B5">
        <v>3.1</v>
      </c>
      <c r="C5">
        <v>1.5</v>
      </c>
      <c r="D5">
        <v>0.2</v>
      </c>
      <c r="E5" t="s">
        <v>5</v>
      </c>
    </row>
    <row r="6" spans="1:5">
      <c r="A6">
        <v>5</v>
      </c>
      <c r="B6">
        <v>3.6</v>
      </c>
      <c r="C6">
        <v>1.4</v>
      </c>
      <c r="D6">
        <v>0.2</v>
      </c>
      <c r="E6" t="s">
        <v>5</v>
      </c>
    </row>
    <row r="7" spans="1:5">
      <c r="A7">
        <v>5.4</v>
      </c>
      <c r="B7">
        <v>3.9</v>
      </c>
      <c r="C7">
        <v>1.7</v>
      </c>
      <c r="D7">
        <v>0.4</v>
      </c>
      <c r="E7" t="s">
        <v>5</v>
      </c>
    </row>
    <row r="8" spans="1:5">
      <c r="A8">
        <v>4.5999999999999996</v>
      </c>
      <c r="B8">
        <v>3.4</v>
      </c>
      <c r="C8">
        <v>1.4</v>
      </c>
      <c r="D8">
        <v>0.3</v>
      </c>
      <c r="E8" t="s">
        <v>5</v>
      </c>
    </row>
    <row r="9" spans="1:5">
      <c r="A9">
        <v>5</v>
      </c>
      <c r="B9">
        <v>3.4</v>
      </c>
      <c r="C9">
        <v>1.5</v>
      </c>
      <c r="D9">
        <v>0.2</v>
      </c>
      <c r="E9" t="s">
        <v>5</v>
      </c>
    </row>
    <row r="10" spans="1:5">
      <c r="A10">
        <v>4.4000000000000004</v>
      </c>
      <c r="B10">
        <v>2.9</v>
      </c>
      <c r="C10">
        <v>1.4</v>
      </c>
      <c r="D10">
        <v>0.2</v>
      </c>
      <c r="E10" t="s">
        <v>5</v>
      </c>
    </row>
    <row r="11" spans="1:5">
      <c r="A11">
        <v>4.9000000000000004</v>
      </c>
      <c r="B11">
        <v>3.1</v>
      </c>
      <c r="C11">
        <v>1.5</v>
      </c>
      <c r="D11">
        <v>0.1</v>
      </c>
      <c r="E11" t="s">
        <v>5</v>
      </c>
    </row>
    <row r="12" spans="1:5">
      <c r="A12">
        <v>5.4</v>
      </c>
      <c r="B12">
        <v>3.7</v>
      </c>
      <c r="C12">
        <v>1.5</v>
      </c>
      <c r="D12">
        <v>0.2</v>
      </c>
      <c r="E12" t="s">
        <v>5</v>
      </c>
    </row>
    <row r="13" spans="1:5">
      <c r="A13">
        <v>4.8</v>
      </c>
      <c r="B13">
        <v>3.4</v>
      </c>
      <c r="C13">
        <v>1.6</v>
      </c>
      <c r="D13">
        <v>0.2</v>
      </c>
      <c r="E13" t="s">
        <v>5</v>
      </c>
    </row>
    <row r="14" spans="1:5">
      <c r="A14">
        <v>4.8</v>
      </c>
      <c r="B14">
        <v>3</v>
      </c>
      <c r="C14">
        <v>1.4</v>
      </c>
      <c r="D14">
        <v>0.1</v>
      </c>
      <c r="E14" t="s">
        <v>5</v>
      </c>
    </row>
    <row r="15" spans="1:5">
      <c r="A15">
        <v>4.3</v>
      </c>
      <c r="B15">
        <v>3</v>
      </c>
      <c r="C15">
        <v>1.1000000000000001</v>
      </c>
      <c r="D15">
        <v>0.1</v>
      </c>
      <c r="E15" t="s">
        <v>5</v>
      </c>
    </row>
    <row r="16" spans="1:5">
      <c r="A16">
        <v>5.8</v>
      </c>
      <c r="B16">
        <v>4</v>
      </c>
      <c r="C16">
        <v>1.2</v>
      </c>
      <c r="D16">
        <v>0.2</v>
      </c>
      <c r="E16" t="s">
        <v>5</v>
      </c>
    </row>
    <row r="17" spans="1:5">
      <c r="A17">
        <v>5.7</v>
      </c>
      <c r="B17">
        <v>4.4000000000000004</v>
      </c>
      <c r="C17">
        <v>1.5</v>
      </c>
      <c r="D17">
        <v>0.4</v>
      </c>
      <c r="E17" t="s">
        <v>5</v>
      </c>
    </row>
    <row r="18" spans="1:5">
      <c r="A18">
        <v>5.4</v>
      </c>
      <c r="B18">
        <v>3.9</v>
      </c>
      <c r="C18">
        <v>1.3</v>
      </c>
      <c r="D18">
        <v>0.4</v>
      </c>
      <c r="E18" t="s">
        <v>5</v>
      </c>
    </row>
    <row r="19" spans="1:5">
      <c r="A19">
        <v>5.0999999999999996</v>
      </c>
      <c r="B19">
        <v>3.5</v>
      </c>
      <c r="C19">
        <v>1.4</v>
      </c>
      <c r="D19">
        <v>0.3</v>
      </c>
      <c r="E19" t="s">
        <v>5</v>
      </c>
    </row>
    <row r="20" spans="1:5">
      <c r="A20">
        <v>5.7</v>
      </c>
      <c r="B20">
        <v>3.8</v>
      </c>
      <c r="C20">
        <v>1.7</v>
      </c>
      <c r="D20">
        <v>0.3</v>
      </c>
      <c r="E20" t="s">
        <v>5</v>
      </c>
    </row>
    <row r="21" spans="1:5">
      <c r="A21">
        <v>5.0999999999999996</v>
      </c>
      <c r="B21">
        <v>3.8</v>
      </c>
      <c r="C21">
        <v>1.5</v>
      </c>
      <c r="D21">
        <v>0.3</v>
      </c>
      <c r="E21" t="s">
        <v>5</v>
      </c>
    </row>
    <row r="22" spans="1:5">
      <c r="A22">
        <v>5.4</v>
      </c>
      <c r="B22">
        <v>3.4</v>
      </c>
      <c r="C22">
        <v>1.7</v>
      </c>
      <c r="D22">
        <v>0.2</v>
      </c>
      <c r="E22" t="s">
        <v>5</v>
      </c>
    </row>
    <row r="23" spans="1:5">
      <c r="A23">
        <v>5.0999999999999996</v>
      </c>
      <c r="B23">
        <v>3.7</v>
      </c>
      <c r="C23">
        <v>1.5</v>
      </c>
      <c r="D23">
        <v>0.4</v>
      </c>
      <c r="E23" t="s">
        <v>5</v>
      </c>
    </row>
    <row r="24" spans="1:5">
      <c r="A24">
        <v>4.5999999999999996</v>
      </c>
      <c r="B24">
        <v>3.6</v>
      </c>
      <c r="C24">
        <v>1</v>
      </c>
      <c r="D24">
        <v>0.2</v>
      </c>
      <c r="E24" t="s">
        <v>5</v>
      </c>
    </row>
    <row r="25" spans="1:5">
      <c r="A25">
        <v>5.0999999999999996</v>
      </c>
      <c r="B25">
        <v>3.3</v>
      </c>
      <c r="C25">
        <v>1.7</v>
      </c>
      <c r="D25">
        <v>0.5</v>
      </c>
      <c r="E25" t="s">
        <v>5</v>
      </c>
    </row>
    <row r="26" spans="1:5">
      <c r="A26">
        <v>4.8</v>
      </c>
      <c r="B26">
        <v>3.4</v>
      </c>
      <c r="C26">
        <v>1.9</v>
      </c>
      <c r="D26">
        <v>0.2</v>
      </c>
      <c r="E26" t="s">
        <v>5</v>
      </c>
    </row>
    <row r="27" spans="1:5">
      <c r="A27">
        <v>5</v>
      </c>
      <c r="B27">
        <v>3</v>
      </c>
      <c r="C27">
        <v>1.6</v>
      </c>
      <c r="D27">
        <v>0.2</v>
      </c>
      <c r="E27" t="s">
        <v>5</v>
      </c>
    </row>
    <row r="28" spans="1:5">
      <c r="A28">
        <v>5</v>
      </c>
      <c r="B28">
        <v>3.4</v>
      </c>
      <c r="C28">
        <v>1.6</v>
      </c>
      <c r="D28">
        <v>0.4</v>
      </c>
      <c r="E28" t="s">
        <v>5</v>
      </c>
    </row>
    <row r="29" spans="1:5">
      <c r="A29">
        <v>5.2</v>
      </c>
      <c r="B29">
        <v>3.5</v>
      </c>
      <c r="C29">
        <v>1.5</v>
      </c>
      <c r="D29">
        <v>0.2</v>
      </c>
      <c r="E29" t="s">
        <v>5</v>
      </c>
    </row>
    <row r="30" spans="1:5">
      <c r="A30">
        <v>5.2</v>
      </c>
      <c r="B30">
        <v>3.4</v>
      </c>
      <c r="C30">
        <v>1.4</v>
      </c>
      <c r="D30">
        <v>0.2</v>
      </c>
      <c r="E30" t="s">
        <v>5</v>
      </c>
    </row>
    <row r="31" spans="1:5">
      <c r="A31">
        <v>4.7</v>
      </c>
      <c r="B31">
        <v>3.2</v>
      </c>
      <c r="C31">
        <v>1.6</v>
      </c>
      <c r="D31">
        <v>0.2</v>
      </c>
      <c r="E31" t="s">
        <v>5</v>
      </c>
    </row>
    <row r="32" spans="1:5">
      <c r="A32">
        <v>4.8</v>
      </c>
      <c r="B32">
        <v>3.1</v>
      </c>
      <c r="C32">
        <v>1.6</v>
      </c>
      <c r="D32">
        <v>0.2</v>
      </c>
      <c r="E32" t="s">
        <v>5</v>
      </c>
    </row>
    <row r="33" spans="1:5">
      <c r="A33">
        <v>5.4</v>
      </c>
      <c r="B33">
        <v>3.4</v>
      </c>
      <c r="C33">
        <v>1.5</v>
      </c>
      <c r="D33">
        <v>0.4</v>
      </c>
      <c r="E33" t="s">
        <v>5</v>
      </c>
    </row>
    <row r="34" spans="1:5">
      <c r="A34">
        <v>5.2</v>
      </c>
      <c r="B34">
        <v>4.0999999999999996</v>
      </c>
      <c r="C34">
        <v>1.5</v>
      </c>
      <c r="D34">
        <v>0.1</v>
      </c>
      <c r="E34" t="s">
        <v>5</v>
      </c>
    </row>
    <row r="35" spans="1:5">
      <c r="A35">
        <v>5.5</v>
      </c>
      <c r="B35">
        <v>4.2</v>
      </c>
      <c r="C35">
        <v>1.4</v>
      </c>
      <c r="D35">
        <v>0.2</v>
      </c>
      <c r="E35" t="s">
        <v>5</v>
      </c>
    </row>
    <row r="36" spans="1:5">
      <c r="A36">
        <v>4.9000000000000004</v>
      </c>
      <c r="B36">
        <v>3.1</v>
      </c>
      <c r="C36">
        <v>1.5</v>
      </c>
      <c r="D36">
        <v>0.1</v>
      </c>
      <c r="E36" t="s">
        <v>5</v>
      </c>
    </row>
    <row r="37" spans="1:5">
      <c r="A37">
        <v>5</v>
      </c>
      <c r="B37">
        <v>3.2</v>
      </c>
      <c r="C37">
        <v>1.2</v>
      </c>
      <c r="D37">
        <v>0.2</v>
      </c>
      <c r="E37" t="s">
        <v>5</v>
      </c>
    </row>
    <row r="38" spans="1:5">
      <c r="A38">
        <v>5.5</v>
      </c>
      <c r="B38">
        <v>3.5</v>
      </c>
      <c r="C38">
        <v>1.3</v>
      </c>
      <c r="D38">
        <v>0.2</v>
      </c>
      <c r="E38" t="s">
        <v>5</v>
      </c>
    </row>
    <row r="39" spans="1:5">
      <c r="A39">
        <v>4.9000000000000004</v>
      </c>
      <c r="B39">
        <v>3.1</v>
      </c>
      <c r="C39">
        <v>1.5</v>
      </c>
      <c r="D39">
        <v>0.1</v>
      </c>
      <c r="E39" t="s">
        <v>5</v>
      </c>
    </row>
    <row r="40" spans="1:5">
      <c r="A40">
        <v>4.4000000000000004</v>
      </c>
      <c r="B40">
        <v>3</v>
      </c>
      <c r="C40">
        <v>1.3</v>
      </c>
      <c r="D40">
        <v>0.2</v>
      </c>
      <c r="E40" t="s">
        <v>5</v>
      </c>
    </row>
    <row r="41" spans="1:5">
      <c r="A41">
        <v>5.0999999999999996</v>
      </c>
      <c r="B41">
        <v>3.4</v>
      </c>
      <c r="C41">
        <v>1.5</v>
      </c>
      <c r="D41">
        <v>0.2</v>
      </c>
      <c r="E41" t="s">
        <v>5</v>
      </c>
    </row>
    <row r="42" spans="1:5">
      <c r="A42">
        <v>5</v>
      </c>
      <c r="B42">
        <v>3.5</v>
      </c>
      <c r="C42">
        <v>1.3</v>
      </c>
      <c r="D42">
        <v>0.3</v>
      </c>
      <c r="E42" t="s">
        <v>5</v>
      </c>
    </row>
    <row r="43" spans="1:5">
      <c r="A43">
        <v>4.5</v>
      </c>
      <c r="B43">
        <v>2.2999999999999998</v>
      </c>
      <c r="C43">
        <v>1.3</v>
      </c>
      <c r="D43">
        <v>0.3</v>
      </c>
      <c r="E43" t="s">
        <v>5</v>
      </c>
    </row>
    <row r="44" spans="1:5">
      <c r="A44">
        <v>4.4000000000000004</v>
      </c>
      <c r="B44">
        <v>3.2</v>
      </c>
      <c r="C44">
        <v>1.3</v>
      </c>
      <c r="D44">
        <v>0.2</v>
      </c>
      <c r="E44" t="s">
        <v>5</v>
      </c>
    </row>
    <row r="45" spans="1:5">
      <c r="A45">
        <v>5</v>
      </c>
      <c r="B45">
        <v>3.5</v>
      </c>
      <c r="C45">
        <v>1.6</v>
      </c>
      <c r="D45">
        <v>0.6</v>
      </c>
      <c r="E45" t="s">
        <v>5</v>
      </c>
    </row>
    <row r="46" spans="1:5">
      <c r="A46">
        <v>5.0999999999999996</v>
      </c>
      <c r="B46">
        <v>3.8</v>
      </c>
      <c r="C46">
        <v>1.9</v>
      </c>
      <c r="D46">
        <v>0.4</v>
      </c>
      <c r="E46" t="s">
        <v>5</v>
      </c>
    </row>
    <row r="47" spans="1:5">
      <c r="A47">
        <v>4.8</v>
      </c>
      <c r="B47">
        <v>3</v>
      </c>
      <c r="C47">
        <v>1.4</v>
      </c>
      <c r="D47">
        <v>0.3</v>
      </c>
      <c r="E47" t="s">
        <v>5</v>
      </c>
    </row>
    <row r="48" spans="1:5">
      <c r="A48">
        <v>5.0999999999999996</v>
      </c>
      <c r="B48">
        <v>3.8</v>
      </c>
      <c r="C48">
        <v>1.6</v>
      </c>
      <c r="D48">
        <v>0.2</v>
      </c>
      <c r="E48" t="s">
        <v>5</v>
      </c>
    </row>
    <row r="49" spans="1:5">
      <c r="A49">
        <v>4.5999999999999996</v>
      </c>
      <c r="B49">
        <v>3.2</v>
      </c>
      <c r="C49">
        <v>1.4</v>
      </c>
      <c r="D49">
        <v>0.2</v>
      </c>
      <c r="E49" t="s">
        <v>5</v>
      </c>
    </row>
    <row r="50" spans="1:5">
      <c r="A50">
        <v>5.3</v>
      </c>
      <c r="B50">
        <v>3.7</v>
      </c>
      <c r="C50">
        <v>1.5</v>
      </c>
      <c r="D50">
        <v>0.2</v>
      </c>
      <c r="E50" t="s">
        <v>5</v>
      </c>
    </row>
    <row r="51" spans="1:5">
      <c r="A51">
        <v>5</v>
      </c>
      <c r="B51">
        <v>3.3</v>
      </c>
      <c r="C51">
        <v>1.4</v>
      </c>
      <c r="D51">
        <v>0.2</v>
      </c>
      <c r="E51" t="s">
        <v>5</v>
      </c>
    </row>
    <row r="52" spans="1:5">
      <c r="A52">
        <v>7</v>
      </c>
      <c r="B52">
        <v>3.2</v>
      </c>
      <c r="C52">
        <v>4.7</v>
      </c>
      <c r="D52">
        <v>1.4</v>
      </c>
      <c r="E52" t="s">
        <v>6</v>
      </c>
    </row>
    <row r="53" spans="1:5">
      <c r="A53">
        <v>6.4</v>
      </c>
      <c r="B53">
        <v>3.2</v>
      </c>
      <c r="C53">
        <v>4.5</v>
      </c>
      <c r="D53">
        <v>1.5</v>
      </c>
      <c r="E53" t="s">
        <v>6</v>
      </c>
    </row>
    <row r="54" spans="1:5">
      <c r="A54">
        <v>6.9</v>
      </c>
      <c r="B54">
        <v>3.1</v>
      </c>
      <c r="C54">
        <v>4.9000000000000004</v>
      </c>
      <c r="D54">
        <v>1.5</v>
      </c>
      <c r="E54" t="s">
        <v>6</v>
      </c>
    </row>
    <row r="55" spans="1:5">
      <c r="A55">
        <v>5.5</v>
      </c>
      <c r="B55">
        <v>2.2999999999999998</v>
      </c>
      <c r="C55">
        <v>4</v>
      </c>
      <c r="D55">
        <v>1.3</v>
      </c>
      <c r="E55" t="s">
        <v>6</v>
      </c>
    </row>
    <row r="56" spans="1:5">
      <c r="A56">
        <v>6.5</v>
      </c>
      <c r="B56">
        <v>2.8</v>
      </c>
      <c r="C56">
        <v>4.5999999999999996</v>
      </c>
      <c r="D56">
        <v>1.5</v>
      </c>
      <c r="E56" t="s">
        <v>6</v>
      </c>
    </row>
    <row r="57" spans="1:5">
      <c r="A57">
        <v>5.7</v>
      </c>
      <c r="B57">
        <v>2.8</v>
      </c>
      <c r="C57">
        <v>4.5</v>
      </c>
      <c r="D57">
        <v>1.3</v>
      </c>
      <c r="E57" t="s">
        <v>6</v>
      </c>
    </row>
    <row r="58" spans="1:5">
      <c r="A58">
        <v>6.3</v>
      </c>
      <c r="B58">
        <v>3.3</v>
      </c>
      <c r="C58">
        <v>4.7</v>
      </c>
      <c r="D58">
        <v>1.6</v>
      </c>
      <c r="E58" t="s">
        <v>6</v>
      </c>
    </row>
    <row r="59" spans="1:5">
      <c r="A59">
        <v>4.9000000000000004</v>
      </c>
      <c r="B59">
        <v>2.4</v>
      </c>
      <c r="C59">
        <v>3.3</v>
      </c>
      <c r="D59">
        <v>1</v>
      </c>
      <c r="E59" t="s">
        <v>6</v>
      </c>
    </row>
    <row r="60" spans="1:5">
      <c r="A60">
        <v>6.6</v>
      </c>
      <c r="B60">
        <v>2.9</v>
      </c>
      <c r="C60">
        <v>4.5999999999999996</v>
      </c>
      <c r="D60">
        <v>1.3</v>
      </c>
      <c r="E60" t="s">
        <v>6</v>
      </c>
    </row>
    <row r="61" spans="1:5">
      <c r="A61">
        <v>5.2</v>
      </c>
      <c r="B61">
        <v>2.7</v>
      </c>
      <c r="C61">
        <v>3.9</v>
      </c>
      <c r="D61">
        <v>1.4</v>
      </c>
      <c r="E61" t="s">
        <v>6</v>
      </c>
    </row>
    <row r="62" spans="1:5">
      <c r="A62">
        <v>5</v>
      </c>
      <c r="B62">
        <v>2</v>
      </c>
      <c r="C62">
        <v>3.5</v>
      </c>
      <c r="D62">
        <v>1</v>
      </c>
      <c r="E62" t="s">
        <v>6</v>
      </c>
    </row>
    <row r="63" spans="1:5">
      <c r="A63">
        <v>5.9</v>
      </c>
      <c r="B63">
        <v>3</v>
      </c>
      <c r="C63">
        <v>4.2</v>
      </c>
      <c r="D63">
        <v>1.5</v>
      </c>
      <c r="E63" t="s">
        <v>6</v>
      </c>
    </row>
    <row r="64" spans="1:5">
      <c r="A64">
        <v>6</v>
      </c>
      <c r="B64">
        <v>2.2000000000000002</v>
      </c>
      <c r="C64">
        <v>4</v>
      </c>
      <c r="D64">
        <v>1</v>
      </c>
      <c r="E64" t="s">
        <v>6</v>
      </c>
    </row>
    <row r="65" spans="1:5">
      <c r="A65">
        <v>6.1</v>
      </c>
      <c r="B65">
        <v>2.9</v>
      </c>
      <c r="C65">
        <v>4.7</v>
      </c>
      <c r="D65">
        <v>1.4</v>
      </c>
      <c r="E65" t="s">
        <v>6</v>
      </c>
    </row>
    <row r="66" spans="1:5">
      <c r="A66">
        <v>5.6</v>
      </c>
      <c r="B66">
        <v>2.9</v>
      </c>
      <c r="C66">
        <v>3.6</v>
      </c>
      <c r="D66">
        <v>1.3</v>
      </c>
      <c r="E66" t="s">
        <v>6</v>
      </c>
    </row>
    <row r="67" spans="1:5">
      <c r="A67">
        <v>6.7</v>
      </c>
      <c r="B67">
        <v>3.1</v>
      </c>
      <c r="C67">
        <v>4.4000000000000004</v>
      </c>
      <c r="D67">
        <v>1.4</v>
      </c>
      <c r="E67" t="s">
        <v>6</v>
      </c>
    </row>
    <row r="68" spans="1:5">
      <c r="A68">
        <v>5.6</v>
      </c>
      <c r="B68">
        <v>3</v>
      </c>
      <c r="C68">
        <v>4.5</v>
      </c>
      <c r="D68">
        <v>1.5</v>
      </c>
      <c r="E68" t="s">
        <v>6</v>
      </c>
    </row>
    <row r="69" spans="1:5">
      <c r="A69">
        <v>5.8</v>
      </c>
      <c r="B69">
        <v>2.7</v>
      </c>
      <c r="C69">
        <v>4.0999999999999996</v>
      </c>
      <c r="D69">
        <v>1</v>
      </c>
      <c r="E69" t="s">
        <v>6</v>
      </c>
    </row>
    <row r="70" spans="1:5">
      <c r="A70">
        <v>6.2</v>
      </c>
      <c r="B70">
        <v>2.2000000000000002</v>
      </c>
      <c r="C70">
        <v>4.5</v>
      </c>
      <c r="D70">
        <v>1.5</v>
      </c>
      <c r="E70" t="s">
        <v>6</v>
      </c>
    </row>
    <row r="71" spans="1:5">
      <c r="A71">
        <v>5.6</v>
      </c>
      <c r="B71">
        <v>2.5</v>
      </c>
      <c r="C71">
        <v>3.9</v>
      </c>
      <c r="D71">
        <v>1.1000000000000001</v>
      </c>
      <c r="E71" t="s">
        <v>6</v>
      </c>
    </row>
    <row r="72" spans="1:5">
      <c r="A72">
        <v>5.9</v>
      </c>
      <c r="B72">
        <v>3.2</v>
      </c>
      <c r="C72">
        <v>4.8</v>
      </c>
      <c r="D72">
        <v>1.8</v>
      </c>
      <c r="E72" t="s">
        <v>6</v>
      </c>
    </row>
    <row r="73" spans="1:5">
      <c r="A73">
        <v>6.1</v>
      </c>
      <c r="B73">
        <v>2.8</v>
      </c>
      <c r="C73">
        <v>4</v>
      </c>
      <c r="D73">
        <v>1.3</v>
      </c>
      <c r="E73" t="s">
        <v>6</v>
      </c>
    </row>
    <row r="74" spans="1:5">
      <c r="A74">
        <v>6.3</v>
      </c>
      <c r="B74">
        <v>2.5</v>
      </c>
      <c r="C74">
        <v>4.9000000000000004</v>
      </c>
      <c r="D74">
        <v>1.5</v>
      </c>
      <c r="E74" t="s">
        <v>6</v>
      </c>
    </row>
    <row r="75" spans="1:5">
      <c r="A75">
        <v>6.1</v>
      </c>
      <c r="B75">
        <v>2.8</v>
      </c>
      <c r="C75">
        <v>4.7</v>
      </c>
      <c r="D75">
        <v>1.2</v>
      </c>
      <c r="E75" t="s">
        <v>6</v>
      </c>
    </row>
    <row r="76" spans="1:5">
      <c r="A76">
        <v>6.4</v>
      </c>
      <c r="B76">
        <v>2.9</v>
      </c>
      <c r="C76">
        <v>4.3</v>
      </c>
      <c r="D76">
        <v>1.3</v>
      </c>
      <c r="E76" t="s">
        <v>6</v>
      </c>
    </row>
    <row r="77" spans="1:5">
      <c r="A77">
        <v>6.6</v>
      </c>
      <c r="B77">
        <v>3</v>
      </c>
      <c r="C77">
        <v>4.4000000000000004</v>
      </c>
      <c r="D77">
        <v>1.4</v>
      </c>
      <c r="E77" t="s">
        <v>6</v>
      </c>
    </row>
    <row r="78" spans="1:5">
      <c r="A78">
        <v>6.8</v>
      </c>
      <c r="B78">
        <v>2.8</v>
      </c>
      <c r="C78">
        <v>4.8</v>
      </c>
      <c r="D78">
        <v>1.4</v>
      </c>
      <c r="E78" t="s">
        <v>6</v>
      </c>
    </row>
    <row r="79" spans="1:5">
      <c r="A79">
        <v>6.7</v>
      </c>
      <c r="B79">
        <v>3</v>
      </c>
      <c r="C79">
        <v>5</v>
      </c>
      <c r="D79">
        <v>1.7</v>
      </c>
      <c r="E79" t="s">
        <v>6</v>
      </c>
    </row>
    <row r="80" spans="1:5">
      <c r="A80">
        <v>6</v>
      </c>
      <c r="B80">
        <v>2.9</v>
      </c>
      <c r="C80">
        <v>4.5</v>
      </c>
      <c r="D80">
        <v>1.5</v>
      </c>
      <c r="E80" t="s">
        <v>6</v>
      </c>
    </row>
    <row r="81" spans="1:5">
      <c r="A81">
        <v>5.7</v>
      </c>
      <c r="B81">
        <v>2.6</v>
      </c>
      <c r="C81">
        <v>3.5</v>
      </c>
      <c r="D81">
        <v>1</v>
      </c>
      <c r="E81" t="s">
        <v>6</v>
      </c>
    </row>
    <row r="82" spans="1:5">
      <c r="A82">
        <v>5.5</v>
      </c>
      <c r="B82">
        <v>2.4</v>
      </c>
      <c r="C82">
        <v>3.8</v>
      </c>
      <c r="D82">
        <v>1.1000000000000001</v>
      </c>
      <c r="E82" t="s">
        <v>6</v>
      </c>
    </row>
    <row r="83" spans="1:5">
      <c r="A83">
        <v>5.5</v>
      </c>
      <c r="B83">
        <v>2.4</v>
      </c>
      <c r="C83">
        <v>3.7</v>
      </c>
      <c r="D83">
        <v>1</v>
      </c>
      <c r="E83" t="s">
        <v>6</v>
      </c>
    </row>
    <row r="84" spans="1:5">
      <c r="A84">
        <v>5.8</v>
      </c>
      <c r="B84">
        <v>2.7</v>
      </c>
      <c r="C84">
        <v>3.9</v>
      </c>
      <c r="D84">
        <v>1.2</v>
      </c>
      <c r="E84" t="s">
        <v>6</v>
      </c>
    </row>
    <row r="85" spans="1:5">
      <c r="A85">
        <v>6</v>
      </c>
      <c r="B85">
        <v>2.7</v>
      </c>
      <c r="C85">
        <v>5.0999999999999996</v>
      </c>
      <c r="D85">
        <v>1.6</v>
      </c>
      <c r="E85" t="s">
        <v>6</v>
      </c>
    </row>
    <row r="86" spans="1:5">
      <c r="A86">
        <v>5.4</v>
      </c>
      <c r="B86">
        <v>3</v>
      </c>
      <c r="C86">
        <v>4.5</v>
      </c>
      <c r="D86">
        <v>1.5</v>
      </c>
      <c r="E86" t="s">
        <v>6</v>
      </c>
    </row>
    <row r="87" spans="1:5">
      <c r="A87">
        <v>6</v>
      </c>
      <c r="B87">
        <v>3.4</v>
      </c>
      <c r="C87">
        <v>4.5</v>
      </c>
      <c r="D87">
        <v>1.6</v>
      </c>
      <c r="E87" t="s">
        <v>6</v>
      </c>
    </row>
    <row r="88" spans="1:5">
      <c r="A88">
        <v>6.7</v>
      </c>
      <c r="B88">
        <v>3.1</v>
      </c>
      <c r="C88">
        <v>4.7</v>
      </c>
      <c r="D88">
        <v>1.5</v>
      </c>
      <c r="E88" t="s">
        <v>6</v>
      </c>
    </row>
    <row r="89" spans="1:5">
      <c r="A89">
        <v>6.3</v>
      </c>
      <c r="B89">
        <v>2.2999999999999998</v>
      </c>
      <c r="C89">
        <v>4.4000000000000004</v>
      </c>
      <c r="D89">
        <v>1.3</v>
      </c>
      <c r="E89" t="s">
        <v>6</v>
      </c>
    </row>
    <row r="90" spans="1:5">
      <c r="A90">
        <v>5.6</v>
      </c>
      <c r="B90">
        <v>3</v>
      </c>
      <c r="C90">
        <v>4.0999999999999996</v>
      </c>
      <c r="D90">
        <v>1.3</v>
      </c>
      <c r="E90" t="s">
        <v>6</v>
      </c>
    </row>
    <row r="91" spans="1:5">
      <c r="A91">
        <v>5.5</v>
      </c>
      <c r="B91">
        <v>2.5</v>
      </c>
      <c r="C91">
        <v>4</v>
      </c>
      <c r="D91">
        <v>1.3</v>
      </c>
      <c r="E91" t="s">
        <v>6</v>
      </c>
    </row>
    <row r="92" spans="1:5">
      <c r="A92">
        <v>5.5</v>
      </c>
      <c r="B92">
        <v>2.6</v>
      </c>
      <c r="C92">
        <v>4.4000000000000004</v>
      </c>
      <c r="D92">
        <v>1.2</v>
      </c>
      <c r="E92" t="s">
        <v>6</v>
      </c>
    </row>
    <row r="93" spans="1:5">
      <c r="A93">
        <v>6.1</v>
      </c>
      <c r="B93">
        <v>3</v>
      </c>
      <c r="C93">
        <v>4.5999999999999996</v>
      </c>
      <c r="D93">
        <v>1.4</v>
      </c>
      <c r="E93" t="s">
        <v>6</v>
      </c>
    </row>
    <row r="94" spans="1:5">
      <c r="A94">
        <v>5.8</v>
      </c>
      <c r="B94">
        <v>2.6</v>
      </c>
      <c r="C94">
        <v>4</v>
      </c>
      <c r="D94">
        <v>1.2</v>
      </c>
      <c r="E94" t="s">
        <v>6</v>
      </c>
    </row>
    <row r="95" spans="1:5">
      <c r="A95">
        <v>5</v>
      </c>
      <c r="B95">
        <v>2.2999999999999998</v>
      </c>
      <c r="C95">
        <v>3.3</v>
      </c>
      <c r="D95">
        <v>1</v>
      </c>
      <c r="E95" t="s">
        <v>6</v>
      </c>
    </row>
    <row r="96" spans="1:5">
      <c r="A96">
        <v>5.6</v>
      </c>
      <c r="B96">
        <v>2.7</v>
      </c>
      <c r="C96">
        <v>4.2</v>
      </c>
      <c r="D96">
        <v>1.3</v>
      </c>
      <c r="E96" t="s">
        <v>6</v>
      </c>
    </row>
    <row r="97" spans="1:5">
      <c r="A97">
        <v>5.7</v>
      </c>
      <c r="B97">
        <v>3</v>
      </c>
      <c r="C97">
        <v>4.2</v>
      </c>
      <c r="D97">
        <v>1.2</v>
      </c>
      <c r="E97" t="s">
        <v>6</v>
      </c>
    </row>
    <row r="98" spans="1:5">
      <c r="A98">
        <v>5.7</v>
      </c>
      <c r="B98">
        <v>2.9</v>
      </c>
      <c r="C98">
        <v>4.2</v>
      </c>
      <c r="D98">
        <v>1.3</v>
      </c>
      <c r="E98" t="s">
        <v>6</v>
      </c>
    </row>
    <row r="99" spans="1:5">
      <c r="A99">
        <v>6.2</v>
      </c>
      <c r="B99">
        <v>2.9</v>
      </c>
      <c r="C99">
        <v>4.3</v>
      </c>
      <c r="D99">
        <v>1.3</v>
      </c>
      <c r="E99" t="s">
        <v>6</v>
      </c>
    </row>
    <row r="100" spans="1:5">
      <c r="A100">
        <v>5.0999999999999996</v>
      </c>
      <c r="B100">
        <v>2.5</v>
      </c>
      <c r="C100">
        <v>3</v>
      </c>
      <c r="D100">
        <v>1.1000000000000001</v>
      </c>
      <c r="E100" t="s">
        <v>6</v>
      </c>
    </row>
    <row r="101" spans="1:5">
      <c r="A101">
        <v>5.7</v>
      </c>
      <c r="B101">
        <v>2.8</v>
      </c>
      <c r="C101">
        <v>4.0999999999999996</v>
      </c>
      <c r="D101">
        <v>1.3</v>
      </c>
      <c r="E101" t="s">
        <v>6</v>
      </c>
    </row>
    <row r="102" spans="1:5">
      <c r="A102">
        <v>6.3</v>
      </c>
      <c r="B102">
        <v>3.3</v>
      </c>
      <c r="C102">
        <v>6</v>
      </c>
      <c r="D102">
        <v>2.5</v>
      </c>
      <c r="E102" t="s">
        <v>7</v>
      </c>
    </row>
    <row r="103" spans="1:5">
      <c r="A103">
        <v>5.8</v>
      </c>
      <c r="B103">
        <v>2.7</v>
      </c>
      <c r="C103">
        <v>5.0999999999999996</v>
      </c>
      <c r="D103">
        <v>1.9</v>
      </c>
      <c r="E103" t="s">
        <v>7</v>
      </c>
    </row>
    <row r="104" spans="1:5">
      <c r="A104">
        <v>7.1</v>
      </c>
      <c r="B104">
        <v>3</v>
      </c>
      <c r="C104">
        <v>5.9</v>
      </c>
      <c r="D104">
        <v>2.1</v>
      </c>
      <c r="E104" t="s">
        <v>7</v>
      </c>
    </row>
    <row r="105" spans="1:5">
      <c r="A105">
        <v>6.3</v>
      </c>
      <c r="B105">
        <v>2.9</v>
      </c>
      <c r="C105">
        <v>5.6</v>
      </c>
      <c r="D105">
        <v>1.8</v>
      </c>
      <c r="E105" t="s">
        <v>7</v>
      </c>
    </row>
    <row r="106" spans="1:5">
      <c r="A106">
        <v>6.5</v>
      </c>
      <c r="B106">
        <v>3</v>
      </c>
      <c r="C106">
        <v>5.8</v>
      </c>
      <c r="D106">
        <v>2.2000000000000002</v>
      </c>
      <c r="E106" t="s">
        <v>7</v>
      </c>
    </row>
    <row r="107" spans="1:5">
      <c r="A107">
        <v>7.6</v>
      </c>
      <c r="B107">
        <v>3</v>
      </c>
      <c r="C107">
        <v>6.6</v>
      </c>
      <c r="D107">
        <v>2.1</v>
      </c>
      <c r="E107" t="s">
        <v>7</v>
      </c>
    </row>
    <row r="108" spans="1:5">
      <c r="A108">
        <v>4.9000000000000004</v>
      </c>
      <c r="B108">
        <v>2.5</v>
      </c>
      <c r="C108">
        <v>4.5</v>
      </c>
      <c r="D108">
        <v>1.7</v>
      </c>
      <c r="E108" t="s">
        <v>7</v>
      </c>
    </row>
    <row r="109" spans="1:5">
      <c r="A109">
        <v>7.3</v>
      </c>
      <c r="B109">
        <v>2.9</v>
      </c>
      <c r="C109">
        <v>6.3</v>
      </c>
      <c r="D109">
        <v>1.8</v>
      </c>
      <c r="E109" t="s">
        <v>7</v>
      </c>
    </row>
    <row r="110" spans="1:5">
      <c r="A110">
        <v>6.7</v>
      </c>
      <c r="B110">
        <v>2.5</v>
      </c>
      <c r="C110">
        <v>5.8</v>
      </c>
      <c r="D110">
        <v>1.8</v>
      </c>
      <c r="E110" t="s">
        <v>7</v>
      </c>
    </row>
    <row r="111" spans="1:5">
      <c r="A111">
        <v>7.2</v>
      </c>
      <c r="B111">
        <v>3.6</v>
      </c>
      <c r="C111">
        <v>6.1</v>
      </c>
      <c r="D111">
        <v>2.5</v>
      </c>
      <c r="E111" t="s">
        <v>7</v>
      </c>
    </row>
    <row r="112" spans="1:5">
      <c r="A112">
        <v>6.5</v>
      </c>
      <c r="B112">
        <v>3.2</v>
      </c>
      <c r="C112">
        <v>5.0999999999999996</v>
      </c>
      <c r="D112">
        <v>2</v>
      </c>
      <c r="E112" t="s">
        <v>7</v>
      </c>
    </row>
    <row r="113" spans="1:5">
      <c r="A113">
        <v>6.4</v>
      </c>
      <c r="B113">
        <v>2.7</v>
      </c>
      <c r="C113">
        <v>5.3</v>
      </c>
      <c r="D113">
        <v>1.9</v>
      </c>
      <c r="E113" t="s">
        <v>7</v>
      </c>
    </row>
    <row r="114" spans="1:5">
      <c r="A114">
        <v>6.8</v>
      </c>
      <c r="B114">
        <v>3</v>
      </c>
      <c r="C114">
        <v>5.5</v>
      </c>
      <c r="D114">
        <v>2.1</v>
      </c>
      <c r="E114" t="s">
        <v>7</v>
      </c>
    </row>
    <row r="115" spans="1:5">
      <c r="A115">
        <v>5.7</v>
      </c>
      <c r="B115">
        <v>2.5</v>
      </c>
      <c r="C115">
        <v>5</v>
      </c>
      <c r="D115">
        <v>2</v>
      </c>
      <c r="E115" t="s">
        <v>7</v>
      </c>
    </row>
    <row r="116" spans="1:5">
      <c r="A116">
        <v>5.8</v>
      </c>
      <c r="B116">
        <v>2.8</v>
      </c>
      <c r="C116">
        <v>5.0999999999999996</v>
      </c>
      <c r="D116">
        <v>2.4</v>
      </c>
      <c r="E116" t="s">
        <v>7</v>
      </c>
    </row>
    <row r="117" spans="1:5">
      <c r="A117">
        <v>6.4</v>
      </c>
      <c r="B117">
        <v>3.2</v>
      </c>
      <c r="C117">
        <v>5.3</v>
      </c>
      <c r="D117">
        <v>2.2999999999999998</v>
      </c>
      <c r="E117" t="s">
        <v>7</v>
      </c>
    </row>
    <row r="118" spans="1:5">
      <c r="A118">
        <v>6.5</v>
      </c>
      <c r="B118">
        <v>3</v>
      </c>
      <c r="C118">
        <v>5.5</v>
      </c>
      <c r="D118">
        <v>1.8</v>
      </c>
      <c r="E118" t="s">
        <v>7</v>
      </c>
    </row>
    <row r="119" spans="1:5">
      <c r="A119">
        <v>7.7</v>
      </c>
      <c r="B119">
        <v>3.8</v>
      </c>
      <c r="C119">
        <v>6.7</v>
      </c>
      <c r="D119">
        <v>2.2000000000000002</v>
      </c>
      <c r="E119" t="s">
        <v>7</v>
      </c>
    </row>
    <row r="120" spans="1:5">
      <c r="A120">
        <v>7.7</v>
      </c>
      <c r="B120">
        <v>2.6</v>
      </c>
      <c r="C120">
        <v>6.9</v>
      </c>
      <c r="D120">
        <v>2.2999999999999998</v>
      </c>
      <c r="E120" t="s">
        <v>7</v>
      </c>
    </row>
    <row r="121" spans="1:5">
      <c r="A121">
        <v>6</v>
      </c>
      <c r="B121">
        <v>2.2000000000000002</v>
      </c>
      <c r="C121">
        <v>5</v>
      </c>
      <c r="D121">
        <v>1.5</v>
      </c>
      <c r="E121" t="s">
        <v>7</v>
      </c>
    </row>
    <row r="122" spans="1:5">
      <c r="A122">
        <v>6.9</v>
      </c>
      <c r="B122">
        <v>3.2</v>
      </c>
      <c r="C122">
        <v>5.7</v>
      </c>
      <c r="D122">
        <v>2.2999999999999998</v>
      </c>
      <c r="E122" t="s">
        <v>7</v>
      </c>
    </row>
    <row r="123" spans="1:5">
      <c r="A123">
        <v>5.6</v>
      </c>
      <c r="B123">
        <v>2.8</v>
      </c>
      <c r="C123">
        <v>4.9000000000000004</v>
      </c>
      <c r="D123">
        <v>2</v>
      </c>
      <c r="E123" t="s">
        <v>7</v>
      </c>
    </row>
    <row r="124" spans="1:5">
      <c r="A124">
        <v>7.7</v>
      </c>
      <c r="B124">
        <v>2.8</v>
      </c>
      <c r="C124">
        <v>6.7</v>
      </c>
      <c r="D124">
        <v>2</v>
      </c>
      <c r="E124" t="s">
        <v>7</v>
      </c>
    </row>
    <row r="125" spans="1:5">
      <c r="A125">
        <v>6.3</v>
      </c>
      <c r="B125">
        <v>2.7</v>
      </c>
      <c r="C125">
        <v>4.9000000000000004</v>
      </c>
      <c r="D125">
        <v>1.8</v>
      </c>
      <c r="E125" t="s">
        <v>7</v>
      </c>
    </row>
    <row r="126" spans="1:5">
      <c r="A126">
        <v>6.7</v>
      </c>
      <c r="B126">
        <v>3.3</v>
      </c>
      <c r="C126">
        <v>5.7</v>
      </c>
      <c r="D126">
        <v>2.1</v>
      </c>
      <c r="E126" t="s">
        <v>7</v>
      </c>
    </row>
    <row r="127" spans="1:5">
      <c r="A127">
        <v>7.2</v>
      </c>
      <c r="B127">
        <v>3.2</v>
      </c>
      <c r="C127">
        <v>6</v>
      </c>
      <c r="D127">
        <v>1.8</v>
      </c>
      <c r="E127" t="s">
        <v>7</v>
      </c>
    </row>
    <row r="128" spans="1:5">
      <c r="A128">
        <v>6.2</v>
      </c>
      <c r="B128">
        <v>2.8</v>
      </c>
      <c r="C128">
        <v>4.8</v>
      </c>
      <c r="D128">
        <v>1.8</v>
      </c>
      <c r="E128" t="s">
        <v>7</v>
      </c>
    </row>
    <row r="129" spans="1:5">
      <c r="A129">
        <v>6.1</v>
      </c>
      <c r="B129">
        <v>3</v>
      </c>
      <c r="C129">
        <v>4.9000000000000004</v>
      </c>
      <c r="D129">
        <v>1.8</v>
      </c>
      <c r="E129" t="s">
        <v>7</v>
      </c>
    </row>
    <row r="130" spans="1:5">
      <c r="A130">
        <v>6.4</v>
      </c>
      <c r="B130">
        <v>2.8</v>
      </c>
      <c r="C130">
        <v>5.6</v>
      </c>
      <c r="D130">
        <v>2.1</v>
      </c>
      <c r="E130" t="s">
        <v>7</v>
      </c>
    </row>
    <row r="131" spans="1:5">
      <c r="A131">
        <v>7.2</v>
      </c>
      <c r="B131">
        <v>3</v>
      </c>
      <c r="C131">
        <v>5.8</v>
      </c>
      <c r="D131">
        <v>1.6</v>
      </c>
      <c r="E131" t="s">
        <v>7</v>
      </c>
    </row>
    <row r="132" spans="1:5">
      <c r="A132">
        <v>7.4</v>
      </c>
      <c r="B132">
        <v>2.8</v>
      </c>
      <c r="C132">
        <v>6.1</v>
      </c>
      <c r="D132">
        <v>1.9</v>
      </c>
      <c r="E132" t="s">
        <v>7</v>
      </c>
    </row>
    <row r="133" spans="1:5">
      <c r="A133">
        <v>7.9</v>
      </c>
      <c r="B133">
        <v>3.8</v>
      </c>
      <c r="C133">
        <v>6.4</v>
      </c>
      <c r="D133">
        <v>2</v>
      </c>
      <c r="E133" t="s">
        <v>7</v>
      </c>
    </row>
    <row r="134" spans="1:5">
      <c r="A134">
        <v>6.4</v>
      </c>
      <c r="B134">
        <v>2.8</v>
      </c>
      <c r="C134">
        <v>5.6</v>
      </c>
      <c r="D134">
        <v>2.2000000000000002</v>
      </c>
      <c r="E134" t="s">
        <v>7</v>
      </c>
    </row>
    <row r="135" spans="1:5">
      <c r="A135">
        <v>6.3</v>
      </c>
      <c r="B135">
        <v>2.8</v>
      </c>
      <c r="C135">
        <v>5.0999999999999996</v>
      </c>
      <c r="D135">
        <v>1.5</v>
      </c>
      <c r="E135" t="s">
        <v>7</v>
      </c>
    </row>
    <row r="136" spans="1:5">
      <c r="A136">
        <v>6.1</v>
      </c>
      <c r="B136">
        <v>2.6</v>
      </c>
      <c r="C136">
        <v>5.6</v>
      </c>
      <c r="D136">
        <v>1.4</v>
      </c>
      <c r="E136" t="s">
        <v>7</v>
      </c>
    </row>
    <row r="137" spans="1:5">
      <c r="A137">
        <v>7.7</v>
      </c>
      <c r="B137">
        <v>3</v>
      </c>
      <c r="C137">
        <v>6.1</v>
      </c>
      <c r="D137">
        <v>2.2999999999999998</v>
      </c>
      <c r="E137" t="s">
        <v>7</v>
      </c>
    </row>
    <row r="138" spans="1:5">
      <c r="A138">
        <v>6.3</v>
      </c>
      <c r="B138">
        <v>3.4</v>
      </c>
      <c r="C138">
        <v>5.6</v>
      </c>
      <c r="D138">
        <v>2.4</v>
      </c>
      <c r="E138" t="s">
        <v>7</v>
      </c>
    </row>
    <row r="139" spans="1:5">
      <c r="A139">
        <v>6.4</v>
      </c>
      <c r="B139">
        <v>3.1</v>
      </c>
      <c r="C139">
        <v>5.5</v>
      </c>
      <c r="D139">
        <v>1.8</v>
      </c>
      <c r="E139" t="s">
        <v>7</v>
      </c>
    </row>
    <row r="140" spans="1:5">
      <c r="A140">
        <v>6</v>
      </c>
      <c r="B140">
        <v>3</v>
      </c>
      <c r="C140">
        <v>4.8</v>
      </c>
      <c r="D140">
        <v>1.8</v>
      </c>
      <c r="E140" t="s">
        <v>7</v>
      </c>
    </row>
    <row r="141" spans="1:5">
      <c r="A141">
        <v>6.9</v>
      </c>
      <c r="B141">
        <v>3.1</v>
      </c>
      <c r="C141">
        <v>5.4</v>
      </c>
      <c r="D141">
        <v>2.1</v>
      </c>
      <c r="E141" t="s">
        <v>7</v>
      </c>
    </row>
    <row r="142" spans="1:5">
      <c r="A142">
        <v>6.7</v>
      </c>
      <c r="B142">
        <v>3.1</v>
      </c>
      <c r="C142">
        <v>5.6</v>
      </c>
      <c r="D142">
        <v>2.4</v>
      </c>
      <c r="E142" t="s">
        <v>7</v>
      </c>
    </row>
    <row r="143" spans="1:5">
      <c r="A143">
        <v>6.9</v>
      </c>
      <c r="B143">
        <v>3.1</v>
      </c>
      <c r="C143">
        <v>5.0999999999999996</v>
      </c>
      <c r="D143">
        <v>2.2999999999999998</v>
      </c>
      <c r="E143" t="s">
        <v>7</v>
      </c>
    </row>
    <row r="144" spans="1:5">
      <c r="A144">
        <v>5.8</v>
      </c>
      <c r="B144">
        <v>2.7</v>
      </c>
      <c r="C144">
        <v>5.0999999999999996</v>
      </c>
      <c r="D144">
        <v>1.9</v>
      </c>
      <c r="E144" t="s">
        <v>7</v>
      </c>
    </row>
    <row r="145" spans="1:5">
      <c r="A145">
        <v>6.8</v>
      </c>
      <c r="B145">
        <v>3.2</v>
      </c>
      <c r="C145">
        <v>5.9</v>
      </c>
      <c r="D145">
        <v>2.2999999999999998</v>
      </c>
      <c r="E145" t="s">
        <v>7</v>
      </c>
    </row>
    <row r="146" spans="1:5">
      <c r="A146">
        <v>6.7</v>
      </c>
      <c r="B146">
        <v>3.3</v>
      </c>
      <c r="C146">
        <v>5.7</v>
      </c>
      <c r="D146">
        <v>2.5</v>
      </c>
      <c r="E146" t="s">
        <v>7</v>
      </c>
    </row>
    <row r="147" spans="1:5">
      <c r="A147">
        <v>6.7</v>
      </c>
      <c r="B147">
        <v>3</v>
      </c>
      <c r="C147">
        <v>5.2</v>
      </c>
      <c r="D147">
        <v>2.2999999999999998</v>
      </c>
      <c r="E147" t="s">
        <v>7</v>
      </c>
    </row>
    <row r="148" spans="1:5">
      <c r="A148">
        <v>6.3</v>
      </c>
      <c r="B148">
        <v>2.5</v>
      </c>
      <c r="C148">
        <v>5</v>
      </c>
      <c r="D148">
        <v>1.9</v>
      </c>
      <c r="E148" t="s">
        <v>7</v>
      </c>
    </row>
    <row r="149" spans="1:5">
      <c r="A149">
        <v>6.5</v>
      </c>
      <c r="B149">
        <v>3</v>
      </c>
      <c r="C149">
        <v>5.2</v>
      </c>
      <c r="D149">
        <v>2</v>
      </c>
      <c r="E149" t="s">
        <v>7</v>
      </c>
    </row>
    <row r="150" spans="1:5">
      <c r="A150">
        <v>6.2</v>
      </c>
      <c r="B150">
        <v>3.4</v>
      </c>
      <c r="C150">
        <v>5.4</v>
      </c>
      <c r="D150">
        <v>2.2999999999999998</v>
      </c>
      <c r="E150" t="s">
        <v>7</v>
      </c>
    </row>
    <row r="151" spans="1:5">
      <c r="A151">
        <v>5.9</v>
      </c>
      <c r="B151">
        <v>3</v>
      </c>
      <c r="C151">
        <v>5.0999999999999996</v>
      </c>
      <c r="D151">
        <v>1.8</v>
      </c>
      <c r="E15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5DE54-9BD3-4C39-9941-65E10B886633}">
  <dimension ref="A1:E13"/>
  <sheetViews>
    <sheetView tabSelected="1" workbookViewId="0">
      <selection activeCell="B30" sqref="B30"/>
    </sheetView>
  </sheetViews>
  <sheetFormatPr defaultRowHeight="14.4"/>
  <cols>
    <col min="1" max="1" width="38.109375" customWidth="1"/>
    <col min="2" max="2" width="19.6640625" customWidth="1"/>
    <col min="3" max="3" width="17" customWidth="1"/>
    <col min="4" max="4" width="14.33203125" customWidth="1"/>
    <col min="5" max="5" width="14.44140625" customWidth="1"/>
  </cols>
  <sheetData>
    <row r="1" spans="1:5">
      <c r="A1" s="1" t="s">
        <v>8</v>
      </c>
      <c r="B1" s="1" t="s">
        <v>9</v>
      </c>
      <c r="C1" s="1" t="s">
        <v>10</v>
      </c>
      <c r="D1" s="1" t="s">
        <v>11</v>
      </c>
      <c r="E1" s="1" t="s">
        <v>12</v>
      </c>
    </row>
    <row r="2" spans="1:5">
      <c r="A2" t="s">
        <v>13</v>
      </c>
      <c r="B2" s="2">
        <f>AVERAGE(Sheet1!A2:A151)</f>
        <v>5.8433333333333346</v>
      </c>
      <c r="C2" s="2">
        <f>AVERAGE(Sheet1!B2:B151)</f>
        <v>3.0540000000000007</v>
      </c>
      <c r="D2" s="2">
        <f>AVERAGE(Sheet1!C2:C151)</f>
        <v>3.7586666666666693</v>
      </c>
      <c r="E2" s="2">
        <f>AVERAGE(Sheet1!D2:D151)</f>
        <v>1.1986666666666672</v>
      </c>
    </row>
    <row r="3" spans="1:5">
      <c r="A3" t="s">
        <v>14</v>
      </c>
      <c r="B3" s="2">
        <f>MEDIAN(Sheet1!A2:A151)</f>
        <v>5.8</v>
      </c>
      <c r="C3" s="2">
        <f>MEDIAN(Sheet1!B2:B151)</f>
        <v>3</v>
      </c>
      <c r="D3" s="3">
        <f>AVERAGE(Sheet1!C2:C151)</f>
        <v>3.7586666666666693</v>
      </c>
      <c r="E3" s="3">
        <f>MEDIAN(Sheet1!D2:D151)</f>
        <v>1.3</v>
      </c>
    </row>
    <row r="4" spans="1:5">
      <c r="A4" t="s">
        <v>15</v>
      </c>
      <c r="B4" s="2">
        <f>_xlfn.MODE.SNGL(Sheet1!A2:A151)</f>
        <v>5</v>
      </c>
      <c r="C4" s="2">
        <f>_xlfn.MODE.SNGL(Sheet1!B2:B151)</f>
        <v>3</v>
      </c>
      <c r="D4" s="3">
        <f>_xlfn.MODE.SNGL(Sheet1!C2:C151)</f>
        <v>1.5</v>
      </c>
      <c r="E4" s="2">
        <f>_xlfn.MODE.SNGL(Sheet1!D2:D151)</f>
        <v>0.2</v>
      </c>
    </row>
    <row r="5" spans="1:5">
      <c r="A5" t="s">
        <v>16</v>
      </c>
      <c r="B5" s="2">
        <f>_xlfn.STDEV.S(Sheet1!A2:A151)</f>
        <v>0.82806612797784351</v>
      </c>
      <c r="C5" s="2">
        <f>_xlfn.STDEV.S(Sheet1!B2:B151)</f>
        <v>0.4335943113621597</v>
      </c>
      <c r="D5" s="3">
        <f>_xlfn.STDEV.S(Sheet1!C2:C151)</f>
        <v>1.764420419952258</v>
      </c>
      <c r="E5" s="2">
        <f>_xlfn.STDEV.S(Sheet1!D2:D151)</f>
        <v>0.76316074170084081</v>
      </c>
    </row>
    <row r="6" spans="1:5">
      <c r="A6" t="s">
        <v>17</v>
      </c>
      <c r="B6" s="2">
        <f>_xlfn.QUARTILE.INC(Sheet1!A2:A151,1)</f>
        <v>5.0999999999999996</v>
      </c>
      <c r="C6" s="2">
        <f>_xlfn.QUARTILE.INC(Sheet1!B2:B151,1)</f>
        <v>2.8</v>
      </c>
      <c r="D6" s="3">
        <f>_xlfn.QUARTILE.INC(Sheet1!C2:C151,1)</f>
        <v>1.6</v>
      </c>
      <c r="E6" s="3">
        <f>_xlfn.QUARTILE.INC(Sheet1!D2:D151,1)</f>
        <v>0.3</v>
      </c>
    </row>
    <row r="7" spans="1:5">
      <c r="A7" t="s">
        <v>18</v>
      </c>
      <c r="B7" s="3">
        <f>_xlfn.QUARTILE.INC(Sheet1!A2:A151,2)</f>
        <v>5.8</v>
      </c>
      <c r="C7" s="2">
        <f>_xlfn.QUARTILE.INC(Sheet1!B2:B151,2)</f>
        <v>3</v>
      </c>
      <c r="D7" s="2">
        <f>_xlfn.QUARTILE.INC(Sheet1!C2:C151,2)</f>
        <v>4.3499999999999996</v>
      </c>
      <c r="E7" s="3">
        <f>_xlfn.QUARTILE.INC(Sheet1!D2:D151,2)</f>
        <v>1.3</v>
      </c>
    </row>
    <row r="8" spans="1:5">
      <c r="A8" t="s">
        <v>19</v>
      </c>
      <c r="B8" s="2">
        <f>_xlfn.QUARTILE.INC(Sheet1!A2:A151,3)</f>
        <v>6.4</v>
      </c>
      <c r="C8" s="2">
        <f>_xlfn.QUARTILE.INC(Sheet1!B2:B151,3)</f>
        <v>3.3</v>
      </c>
      <c r="D8" s="3">
        <f>_xlfn.QUARTILE.INC(Sheet1!C2:C151,3)</f>
        <v>5.0999999999999996</v>
      </c>
      <c r="E8" s="2">
        <f>_xlfn.QUARTILE.INC(Sheet1!D2:D151,3)</f>
        <v>1.8</v>
      </c>
    </row>
    <row r="9" spans="1:5">
      <c r="A9" t="s">
        <v>20</v>
      </c>
      <c r="B9" s="2">
        <f>MIN(Sheet1!A2:A151)</f>
        <v>4.3</v>
      </c>
      <c r="C9" s="2">
        <f>MIN(Sheet1!B2:B151)</f>
        <v>2</v>
      </c>
      <c r="D9" s="2">
        <f>MIN(Sheet1!C2:C151)</f>
        <v>1</v>
      </c>
      <c r="E9" s="2">
        <f>MIN(Sheet1!D2:D151)</f>
        <v>0.1</v>
      </c>
    </row>
    <row r="10" spans="1:5">
      <c r="A10" t="s">
        <v>21</v>
      </c>
      <c r="B10" s="2">
        <f>MAX(Sheet1!A2:A151)</f>
        <v>7.9</v>
      </c>
      <c r="C10" s="2">
        <f>MAX(Sheet1!B2:B151)</f>
        <v>4.4000000000000004</v>
      </c>
      <c r="D10" s="2">
        <f>MAX(Sheet1!C2:C151)</f>
        <v>6.9</v>
      </c>
      <c r="E10" s="3">
        <f>MAX(Sheet1!D2:D151)</f>
        <v>2.5</v>
      </c>
    </row>
    <row r="12" spans="1:5">
      <c r="A12" s="4" t="s">
        <v>22</v>
      </c>
    </row>
    <row r="13" spans="1:5">
      <c r="A13"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Summary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akshithaakshitha9921@outlook.com</dc:creator>
  <cp:lastModifiedBy>akshithaakshitha9921@outlook.com</cp:lastModifiedBy>
  <dcterms:created xsi:type="dcterms:W3CDTF">2026-10-09T03:37:43Z</dcterms:created>
  <dcterms:modified xsi:type="dcterms:W3CDTF">2026-10-09T04:10:20Z</dcterms:modified>
</cp:coreProperties>
</file>